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757657C-25A5-412F-8C24-4E48490686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Лист1!$A$1:$O$11</definedName>
  </definedNames>
  <calcPr calcId="181029"/>
</workbook>
</file>

<file path=xl/calcChain.xml><?xml version="1.0" encoding="utf-8"?>
<calcChain xmlns="http://schemas.openxmlformats.org/spreadsheetml/2006/main">
  <c r="K8" i="1" l="1"/>
  <c r="L8" i="1" s="1"/>
  <c r="M8" i="1" s="1"/>
  <c r="N8" i="1" s="1"/>
  <c r="H8" i="1"/>
  <c r="I8" i="1" s="1"/>
  <c r="J8" i="1" s="1"/>
  <c r="H6" i="1" l="1"/>
  <c r="I6" i="1" s="1"/>
  <c r="J6" i="1" s="1"/>
  <c r="K7" i="1"/>
  <c r="L7" i="1" s="1"/>
  <c r="M7" i="1" s="1"/>
  <c r="N7" i="1" s="1"/>
  <c r="H7" i="1"/>
  <c r="I7" i="1" s="1"/>
  <c r="J7" i="1" s="1"/>
  <c r="K6" i="1"/>
  <c r="L6" i="1" s="1"/>
  <c r="M6" i="1" s="1"/>
  <c r="N6" i="1" s="1"/>
  <c r="N9" i="1" l="1"/>
</calcChain>
</file>

<file path=xl/sharedStrings.xml><?xml version="1.0" encoding="utf-8"?>
<sst xmlns="http://schemas.openxmlformats.org/spreadsheetml/2006/main" count="28" uniqueCount="26">
  <si>
    <t>№</t>
  </si>
  <si>
    <t>Ед. изм</t>
  </si>
  <si>
    <t>Кол-во</t>
  </si>
  <si>
    <t>Источник информации о цене (руб./ед.изм.)</t>
  </si>
  <si>
    <t>Однородность совокупности значений выявленных цен, используемых в расчете НМЦК**</t>
  </si>
  <si>
    <t>Среднее квадратичное отклонение</t>
  </si>
  <si>
    <t>Цена за единицу изм. (руб.)</t>
  </si>
  <si>
    <t>Цена за единицу изм. с округлением (вниз) до сотых долей после запятой (руб.)</t>
  </si>
  <si>
    <t xml:space="preserve">Средняя арифметическая цена за единицу     </t>
  </si>
  <si>
    <t>кг</t>
  </si>
  <si>
    <t>Обоснование начальной (максимальной) цены договора</t>
  </si>
  <si>
    <t xml:space="preserve">Печень говяжья (свежемороженая). ГОСТ 32244-2013 </t>
  </si>
  <si>
    <t xml:space="preserve">Сердце говяжье (свежемороженое). ГОСТ 32244-2013 </t>
  </si>
  <si>
    <t>НМЦД, определенная методом сопоставимых рыночных цен (анализа рынка)*</t>
  </si>
  <si>
    <t>НМЦД с учетом округления цены за единицу (руб.)**</t>
  </si>
  <si>
    <t>ИТОГО:</t>
  </si>
  <si>
    <t>Наименование предмета договора</t>
  </si>
  <si>
    <r>
      <t xml:space="preserve">коэффициент вариации цен V (%)           </t>
    </r>
    <r>
      <rPr>
        <i/>
        <sz val="9"/>
        <color indexed="8"/>
        <rFont val="Times New Roman"/>
        <family val="1"/>
        <charset val="204"/>
      </rPr>
      <t xml:space="preserve">         </t>
    </r>
  </si>
  <si>
    <r>
      <rPr>
        <b/>
        <sz val="9"/>
        <color indexed="8"/>
        <rFont val="Times New Roman"/>
        <family val="1"/>
        <charset val="204"/>
      </rPr>
      <t>Расчет НМЦД по формуле</t>
    </r>
    <r>
      <rPr>
        <sz val="9"/>
        <color indexed="8"/>
        <rFont val="Times New Roman"/>
        <family val="1"/>
        <charset val="204"/>
      </rPr>
      <t xml:space="preserve">                    </t>
    </r>
  </si>
  <si>
    <t xml:space="preserve"> </t>
  </si>
  <si>
    <t>Приложение №1 Обоснование НМЦД к документации об открытом аукционе в электронной форме, участниками которого могут быть только субъекты малого и среднего предпринимательства</t>
  </si>
  <si>
    <t xml:space="preserve">Поставка мяса-говядины 1-ой категории и субпродуктов </t>
  </si>
  <si>
    <t>Мясо - говядина первой категории в полутушах и четвертинах замороженное.
ГОСТ 34120-2017</t>
  </si>
  <si>
    <t xml:space="preserve">Коммерческое предложение № 1 от 23.03.2026 г. 
</t>
  </si>
  <si>
    <t xml:space="preserve">Коммерческое предложение  № 2 от 23.03.2026 г. </t>
  </si>
  <si>
    <t xml:space="preserve">Коммерческое предложение  № 3 от 25.03.2026 г.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</si>
</sst>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7" fillId="0" borderId="9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/>
    <xf numFmtId="0" fontId="9" fillId="0" borderId="3" xfId="0" applyFont="1" applyBorder="1"/>
    <xf numFmtId="2" fontId="9" fillId="0" borderId="3" xfId="0" applyNumberFormat="1" applyFont="1" applyBorder="1"/>
    <xf numFmtId="0" fontId="8" fillId="0" borderId="0" xfId="0" applyFont="1"/>
    <xf numFmtId="0" fontId="8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"/>
  <sheetViews>
    <sheetView tabSelected="1" zoomScaleNormal="100" workbookViewId="0">
      <selection activeCell="G16" sqref="G16"/>
    </sheetView>
  </sheetViews>
  <sheetFormatPr defaultRowHeight="12" x14ac:dyDescent="0.2"/>
  <cols>
    <col min="1" max="1" width="4.7109375" style="27" customWidth="1"/>
    <col min="2" max="2" width="19.85546875" style="27" customWidth="1"/>
    <col min="3" max="3" width="6.140625" style="27" customWidth="1"/>
    <col min="4" max="4" width="9.140625" style="27"/>
    <col min="5" max="5" width="15.85546875" style="27" customWidth="1"/>
    <col min="6" max="6" width="15.28515625" style="27" customWidth="1"/>
    <col min="7" max="7" width="15.140625" style="27" customWidth="1"/>
    <col min="8" max="8" width="8.42578125" style="27" customWidth="1"/>
    <col min="9" max="9" width="10.140625" style="27" customWidth="1"/>
    <col min="10" max="10" width="9.140625" style="27"/>
    <col min="11" max="11" width="14.7109375" style="27" customWidth="1"/>
    <col min="12" max="12" width="11.140625" style="27" customWidth="1"/>
    <col min="13" max="13" width="14.5703125" style="27" customWidth="1"/>
    <col min="14" max="14" width="10.5703125" style="27" customWidth="1"/>
    <col min="15" max="16384" width="9.140625" style="27"/>
  </cols>
  <sheetData>
    <row r="1" spans="1:29" s="1" customFormat="1" ht="48" customHeight="1" x14ac:dyDescent="0.2">
      <c r="B1" s="2"/>
      <c r="C1" s="2"/>
      <c r="K1" s="3"/>
      <c r="M1" s="32" t="s">
        <v>20</v>
      </c>
      <c r="N1" s="32"/>
      <c r="O1" s="5"/>
      <c r="P1" s="5"/>
      <c r="Q1" s="5"/>
      <c r="R1" s="5"/>
      <c r="S1" s="5"/>
      <c r="T1" s="5"/>
      <c r="U1" s="5"/>
      <c r="V1" s="5"/>
      <c r="W1" s="4"/>
      <c r="X1" s="4"/>
      <c r="Y1" s="4"/>
      <c r="Z1" s="4"/>
      <c r="AA1" s="4"/>
      <c r="AB1" s="4"/>
      <c r="AC1" s="4"/>
    </row>
    <row r="2" spans="1:29" s="1" customFormat="1" ht="65.25" customHeight="1" x14ac:dyDescent="0.2">
      <c r="A2" s="34" t="s">
        <v>10</v>
      </c>
      <c r="B2" s="34"/>
      <c r="C2" s="34"/>
      <c r="D2" s="34"/>
      <c r="E2" s="34"/>
      <c r="F2" s="34"/>
      <c r="G2" s="34"/>
      <c r="H2" s="34"/>
      <c r="I2" s="34"/>
      <c r="J2" s="34"/>
      <c r="K2" s="35"/>
      <c r="M2" s="33"/>
      <c r="N2" s="3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s="1" customFormat="1" ht="39" customHeight="1" x14ac:dyDescent="0.2">
      <c r="A3" s="36" t="s">
        <v>0</v>
      </c>
      <c r="B3" s="37" t="s">
        <v>16</v>
      </c>
      <c r="C3" s="37" t="s">
        <v>1</v>
      </c>
      <c r="D3" s="37" t="s">
        <v>2</v>
      </c>
      <c r="E3" s="37" t="s">
        <v>3</v>
      </c>
      <c r="F3" s="37"/>
      <c r="G3" s="37"/>
      <c r="H3" s="38" t="s">
        <v>4</v>
      </c>
      <c r="I3" s="38"/>
      <c r="J3" s="38"/>
      <c r="K3" s="39" t="s">
        <v>13</v>
      </c>
      <c r="L3" s="40"/>
      <c r="M3" s="40"/>
      <c r="N3" s="6"/>
    </row>
    <row r="4" spans="1:29" s="1" customFormat="1" ht="84" customHeight="1" x14ac:dyDescent="0.2">
      <c r="A4" s="36"/>
      <c r="B4" s="37"/>
      <c r="C4" s="37"/>
      <c r="D4" s="37"/>
      <c r="E4" s="7" t="s">
        <v>23</v>
      </c>
      <c r="F4" s="7" t="s">
        <v>24</v>
      </c>
      <c r="G4" s="8" t="s">
        <v>25</v>
      </c>
      <c r="H4" s="7" t="s">
        <v>8</v>
      </c>
      <c r="I4" s="7" t="s">
        <v>5</v>
      </c>
      <c r="J4" s="7" t="s">
        <v>17</v>
      </c>
      <c r="K4" s="9" t="s">
        <v>18</v>
      </c>
      <c r="L4" s="10" t="s">
        <v>6</v>
      </c>
      <c r="M4" s="10" t="s">
        <v>7</v>
      </c>
      <c r="N4" s="10" t="s">
        <v>14</v>
      </c>
    </row>
    <row r="5" spans="1:29" s="11" customFormat="1" ht="18.75" customHeight="1" x14ac:dyDescent="0.2">
      <c r="A5" s="29" t="s">
        <v>21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1:29" s="11" customFormat="1" ht="66" customHeight="1" x14ac:dyDescent="0.2">
      <c r="A6" s="12">
        <v>1</v>
      </c>
      <c r="B6" s="13" t="s">
        <v>22</v>
      </c>
      <c r="C6" s="14" t="s">
        <v>9</v>
      </c>
      <c r="D6" s="14">
        <v>2650</v>
      </c>
      <c r="E6" s="15">
        <v>620</v>
      </c>
      <c r="F6" s="15">
        <v>630</v>
      </c>
      <c r="G6" s="15">
        <v>750</v>
      </c>
      <c r="H6" s="16">
        <f t="shared" ref="H6:H7" si="0">AVERAGE(E6:G6)</f>
        <v>666.66666666666663</v>
      </c>
      <c r="I6" s="17">
        <f t="shared" ref="I6:I7" si="1">SQRT(((SUM((POWER(E6-H6,2)),(POWER(F6-H6,2)),(POWER(G6-H6,2)))/(COLUMNS(E6:G6)-1))))</f>
        <v>72.341781380702344</v>
      </c>
      <c r="J6" s="17">
        <f t="shared" ref="J6:J7" si="2">I6/H6*100</f>
        <v>10.851267207105352</v>
      </c>
      <c r="K6" s="18">
        <f t="shared" ref="K6:K8" si="3">((D6/3)*(SUM(E6:G6)))</f>
        <v>1766666.6666666667</v>
      </c>
      <c r="L6" s="19">
        <f t="shared" ref="L6:L8" si="4">K6/D6</f>
        <v>666.66666666666674</v>
      </c>
      <c r="M6" s="18">
        <f t="shared" ref="M6:M8" si="5">ROUND(L6,2)</f>
        <v>666.67</v>
      </c>
      <c r="N6" s="18">
        <f t="shared" ref="N6:N8" si="6">M6*D6</f>
        <v>1766675.5</v>
      </c>
    </row>
    <row r="7" spans="1:29" s="11" customFormat="1" ht="42.75" customHeight="1" x14ac:dyDescent="0.2">
      <c r="A7" s="20">
        <v>2</v>
      </c>
      <c r="B7" s="21" t="s">
        <v>11</v>
      </c>
      <c r="C7" s="22" t="s">
        <v>9</v>
      </c>
      <c r="D7" s="22">
        <v>155</v>
      </c>
      <c r="E7" s="15">
        <v>450</v>
      </c>
      <c r="F7" s="15">
        <v>420</v>
      </c>
      <c r="G7" s="15">
        <v>550</v>
      </c>
      <c r="H7" s="16">
        <f t="shared" si="0"/>
        <v>473.33333333333331</v>
      </c>
      <c r="I7" s="17">
        <f t="shared" si="1"/>
        <v>68.068592855540459</v>
      </c>
      <c r="J7" s="17">
        <f t="shared" si="2"/>
        <v>14.380688631452209</v>
      </c>
      <c r="K7" s="18">
        <f t="shared" si="3"/>
        <v>73366.666666666657</v>
      </c>
      <c r="L7" s="19">
        <f t="shared" si="4"/>
        <v>473.33333333333326</v>
      </c>
      <c r="M7" s="18">
        <f t="shared" si="5"/>
        <v>473.33</v>
      </c>
      <c r="N7" s="18">
        <f t="shared" si="6"/>
        <v>73366.149999999994</v>
      </c>
    </row>
    <row r="8" spans="1:29" s="11" customFormat="1" ht="42.75" customHeight="1" x14ac:dyDescent="0.2">
      <c r="A8" s="20">
        <v>3</v>
      </c>
      <c r="B8" s="13" t="s">
        <v>12</v>
      </c>
      <c r="C8" s="23" t="s">
        <v>9</v>
      </c>
      <c r="D8" s="23">
        <v>440</v>
      </c>
      <c r="E8" s="15">
        <v>450</v>
      </c>
      <c r="F8" s="15">
        <v>390</v>
      </c>
      <c r="G8" s="15">
        <v>550</v>
      </c>
      <c r="H8" s="16">
        <f t="shared" ref="H8" si="7">AVERAGE(E8:G8)</f>
        <v>463.33333333333331</v>
      </c>
      <c r="I8" s="17">
        <f t="shared" ref="I8" si="8">SQRT(((SUM((POWER(E8-H8,2)),(POWER(F8-H8,2)),(POWER(G8-H8,2)))/(COLUMNS(E8:G8)-1))))</f>
        <v>80.829037686547608</v>
      </c>
      <c r="J8" s="17">
        <f t="shared" ref="J8" si="9">I8/H8*100</f>
        <v>17.44511604745632</v>
      </c>
      <c r="K8" s="18">
        <f t="shared" si="3"/>
        <v>203866.66666666666</v>
      </c>
      <c r="L8" s="19">
        <f t="shared" si="4"/>
        <v>463.33333333333331</v>
      </c>
      <c r="M8" s="18">
        <f t="shared" si="5"/>
        <v>463.33</v>
      </c>
      <c r="N8" s="18">
        <f t="shared" si="6"/>
        <v>203865.19999999998</v>
      </c>
    </row>
    <row r="9" spans="1:29" x14ac:dyDescent="0.2">
      <c r="A9" s="24"/>
      <c r="B9" s="25" t="s">
        <v>15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6">
        <f>SUM(N6:N8)</f>
        <v>2043906.8499999999</v>
      </c>
    </row>
    <row r="14" spans="1:29" x14ac:dyDescent="0.2">
      <c r="K14" s="27" t="s">
        <v>19</v>
      </c>
    </row>
    <row r="18" spans="6:6" x14ac:dyDescent="0.2">
      <c r="F18" s="28"/>
    </row>
  </sheetData>
  <mergeCells count="10">
    <mergeCell ref="A5:N5"/>
    <mergeCell ref="M1:N2"/>
    <mergeCell ref="A2:K2"/>
    <mergeCell ref="A3:A4"/>
    <mergeCell ref="B3:B4"/>
    <mergeCell ref="C3:C4"/>
    <mergeCell ref="D3:D4"/>
    <mergeCell ref="E3:G3"/>
    <mergeCell ref="H3:J3"/>
    <mergeCell ref="K3:M3"/>
  </mergeCells>
  <pageMargins left="0.24" right="0.2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2026-03-31T10:31:28Z</dcterms:modified>
</cp:coreProperties>
</file>