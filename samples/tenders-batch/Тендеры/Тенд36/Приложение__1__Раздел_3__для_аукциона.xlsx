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1518BD36-774A-4C55-96F9-EEC9C192401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  <sheet name="Лист2" sheetId="2" r:id="rId2"/>
    <sheet name="Лист3" sheetId="3" r:id="rId3"/>
  </sheets>
  <definedNames>
    <definedName name="_xlnm.Print_Area" localSheetId="0">Лист1!$A$1:$O$10</definedName>
  </definedNames>
  <calcPr calcId="181029"/>
</workbook>
</file>

<file path=xl/calcChain.xml><?xml version="1.0" encoding="utf-8"?>
<calcChain xmlns="http://schemas.openxmlformats.org/spreadsheetml/2006/main">
  <c r="K7" i="1" l="1"/>
  <c r="L7" i="1" s="1"/>
  <c r="M7" i="1" s="1"/>
  <c r="N7" i="1" s="1"/>
  <c r="I7" i="1"/>
  <c r="J7" i="1" s="1"/>
  <c r="H7" i="1"/>
  <c r="H6" i="1"/>
  <c r="I6" i="1" s="1"/>
  <c r="J6" i="1" s="1"/>
  <c r="K6" i="1"/>
  <c r="L6" i="1" s="1"/>
  <c r="M6" i="1" s="1"/>
  <c r="N6" i="1" s="1"/>
  <c r="N8" i="1" l="1"/>
</calcChain>
</file>

<file path=xl/sharedStrings.xml><?xml version="1.0" encoding="utf-8"?>
<sst xmlns="http://schemas.openxmlformats.org/spreadsheetml/2006/main" count="26" uniqueCount="25">
  <si>
    <t>№</t>
  </si>
  <si>
    <t>Ед. изм</t>
  </si>
  <si>
    <t>Кол-во</t>
  </si>
  <si>
    <t>Источник информации о цене (руб./ед.изм.)</t>
  </si>
  <si>
    <t>Однородность совокупности значений выявленных цен, используемых в расчете НМЦК**</t>
  </si>
  <si>
    <t>Среднее квадратичное отклонение</t>
  </si>
  <si>
    <t>Цена за единицу изм. (руб.)</t>
  </si>
  <si>
    <t>Цена за единицу изм. с округлением (вниз) до сотых долей после запятой (руб.)</t>
  </si>
  <si>
    <t xml:space="preserve">Средняя арифметическая цена за единицу     </t>
  </si>
  <si>
    <t>кг</t>
  </si>
  <si>
    <t>Обоснование начальной (максимальной) цены договора</t>
  </si>
  <si>
    <t>НМЦД, определенная методом сопоставимых рыночных цен (анализа рынка)*</t>
  </si>
  <si>
    <t>НМЦД с учетом округления цены за единицу (руб.)**</t>
  </si>
  <si>
    <t>ИТОГО:</t>
  </si>
  <si>
    <t>Наименование предмета договора</t>
  </si>
  <si>
    <r>
      <t xml:space="preserve">коэффициент вариации цен V (%)           </t>
    </r>
    <r>
      <rPr>
        <i/>
        <sz val="9"/>
        <color indexed="8"/>
        <rFont val="Times New Roman"/>
        <family val="1"/>
        <charset val="204"/>
      </rPr>
      <t xml:space="preserve">         </t>
    </r>
  </si>
  <si>
    <r>
      <rPr>
        <b/>
        <sz val="9"/>
        <color indexed="8"/>
        <rFont val="Times New Roman"/>
        <family val="1"/>
        <charset val="204"/>
      </rPr>
      <t>Расчет НМЦД по формуле</t>
    </r>
    <r>
      <rPr>
        <sz val="9"/>
        <color indexed="8"/>
        <rFont val="Times New Roman"/>
        <family val="1"/>
        <charset val="204"/>
      </rPr>
      <t xml:space="preserve">                    </t>
    </r>
  </si>
  <si>
    <t xml:space="preserve"> </t>
  </si>
  <si>
    <t>Приложение №1 Обоснование НМЦД к документации об открытом аукционе в электронной форме, участниками которого могут быть только субъекты малого и среднего предпринимательства</t>
  </si>
  <si>
    <t>Филе сома свежемороженое. ГОСТ 3948-2016.</t>
  </si>
  <si>
    <t>Филе сазана свежемороженное. ГОСТ 3948-2016.</t>
  </si>
  <si>
    <t xml:space="preserve">Коммерческое предложение № 1 от 23.03.2026 г. 
</t>
  </si>
  <si>
    <t xml:space="preserve">Коммерческое предложение  № 3 от 25.03.2026 г. 
</t>
  </si>
  <si>
    <t xml:space="preserve">Коммерческое предложение  № 2 от 23.03.2026 г. 
</t>
  </si>
  <si>
    <t xml:space="preserve">Поставка филе рыбы мороженой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</si>
</sst>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1" x14ac:knownFonts="1">
    <font>
      <sz val="11"/>
      <color theme="1"/>
      <name val="Calibri"/>
      <family val="2"/>
      <scheme val="minor"/>
    </font>
    <font>
      <sz val="9"/>
      <color theme="1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b/>
      <sz val="9"/>
      <name val="Times New Roman"/>
      <family val="1"/>
      <charset val="204"/>
    </font>
    <font>
      <i/>
      <sz val="9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sz val="9"/>
      <name val="Times New Roman"/>
      <family val="1"/>
      <charset val="204"/>
    </font>
    <font>
      <sz val="9"/>
      <color theme="1"/>
      <name val="Calibri"/>
      <family val="2"/>
      <scheme val="minor"/>
    </font>
    <font>
      <b/>
      <sz val="9"/>
      <color theme="1"/>
      <name val="Calibri"/>
      <family val="2"/>
      <charset val="204"/>
      <scheme val="minor"/>
    </font>
    <font>
      <sz val="10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2" fillId="0" borderId="0" xfId="0" applyFont="1" applyAlignment="1">
      <alignment horizontal="left" wrapText="1"/>
    </xf>
    <xf numFmtId="0" fontId="1" fillId="0" borderId="0" xfId="0" applyFont="1" applyAlignment="1">
      <alignment wrapText="1"/>
    </xf>
    <xf numFmtId="0" fontId="2" fillId="0" borderId="0" xfId="0" applyFont="1" applyAlignment="1">
      <alignment horizontal="left" vertical="center" wrapText="1"/>
    </xf>
    <xf numFmtId="0" fontId="3" fillId="0" borderId="5" xfId="0" applyFont="1" applyBorder="1" applyAlignment="1">
      <alignment vertical="top" wrapText="1"/>
    </xf>
    <xf numFmtId="0" fontId="3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 wrapText="1"/>
    </xf>
    <xf numFmtId="0" fontId="6" fillId="0" borderId="3" xfId="0" applyFont="1" applyBorder="1" applyAlignment="1">
      <alignment horizontal="center" vertical="top" wrapText="1"/>
    </xf>
    <xf numFmtId="0" fontId="2" fillId="0" borderId="3" xfId="0" applyFont="1" applyBorder="1" applyAlignment="1">
      <alignment horizontal="center" vertical="top" wrapText="1"/>
    </xf>
    <xf numFmtId="0" fontId="1" fillId="0" borderId="0" xfId="0" applyFont="1" applyAlignment="1">
      <alignment horizontal="center" vertical="top"/>
    </xf>
    <xf numFmtId="0" fontId="7" fillId="0" borderId="3" xfId="0" applyFont="1" applyBorder="1" applyAlignment="1">
      <alignment horizontal="center" vertical="center" wrapText="1"/>
    </xf>
    <xf numFmtId="2" fontId="7" fillId="0" borderId="3" xfId="0" applyNumberFormat="1" applyFont="1" applyBorder="1" applyAlignment="1">
      <alignment horizontal="center" vertical="center" wrapText="1"/>
    </xf>
    <xf numFmtId="4" fontId="6" fillId="0" borderId="3" xfId="0" applyNumberFormat="1" applyFont="1" applyBorder="1" applyAlignment="1">
      <alignment horizontal="center" vertical="center" wrapText="1"/>
    </xf>
    <xf numFmtId="4" fontId="1" fillId="0" borderId="3" xfId="0" applyNumberFormat="1" applyFont="1" applyBorder="1" applyAlignment="1">
      <alignment horizontal="center" vertical="center"/>
    </xf>
    <xf numFmtId="2" fontId="6" fillId="0" borderId="3" xfId="0" applyNumberFormat="1" applyFont="1" applyBorder="1" applyAlignment="1">
      <alignment horizontal="center" vertical="center" wrapText="1"/>
    </xf>
    <xf numFmtId="164" fontId="6" fillId="0" borderId="3" xfId="0" applyNumberFormat="1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8" fillId="0" borderId="3" xfId="0" applyFont="1" applyBorder="1"/>
    <xf numFmtId="0" fontId="9" fillId="0" borderId="3" xfId="0" applyFont="1" applyBorder="1"/>
    <xf numFmtId="2" fontId="9" fillId="0" borderId="3" xfId="0" applyNumberFormat="1" applyFont="1" applyBorder="1"/>
    <xf numFmtId="0" fontId="8" fillId="0" borderId="0" xfId="0" applyFont="1"/>
    <xf numFmtId="0" fontId="8" fillId="0" borderId="0" xfId="0" applyFont="1" applyAlignment="1">
      <alignment horizontal="left" vertical="top"/>
    </xf>
    <xf numFmtId="0" fontId="6" fillId="0" borderId="2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left" vertical="top" wrapText="1"/>
    </xf>
    <xf numFmtId="0" fontId="3" fillId="0" borderId="6" xfId="0" applyFont="1" applyBorder="1" applyAlignment="1">
      <alignment horizontal="left" vertical="top" wrapText="1"/>
    </xf>
    <xf numFmtId="0" fontId="1" fillId="0" borderId="7" xfId="0" applyFont="1" applyBorder="1"/>
    <xf numFmtId="0" fontId="1" fillId="0" borderId="8" xfId="0" applyFont="1" applyBorder="1"/>
    <xf numFmtId="0" fontId="2" fillId="0" borderId="0" xfId="0" applyFont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2" fontId="3" fillId="0" borderId="3" xfId="0" applyNumberFormat="1" applyFont="1" applyBorder="1" applyAlignment="1">
      <alignment horizontal="center" vertical="top" wrapText="1"/>
    </xf>
    <xf numFmtId="0" fontId="3" fillId="0" borderId="2" xfId="0" applyFont="1" applyBorder="1" applyAlignment="1">
      <alignment horizontal="center" vertical="top" wrapText="1"/>
    </xf>
    <xf numFmtId="0" fontId="3" fillId="0" borderId="4" xfId="0" applyFont="1" applyBorder="1" applyAlignment="1">
      <alignment horizontal="center" vertical="top" wrapText="1"/>
    </xf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7"/>
  <sheetViews>
    <sheetView tabSelected="1" zoomScaleNormal="100" workbookViewId="0">
      <selection activeCell="I17" sqref="I17"/>
    </sheetView>
  </sheetViews>
  <sheetFormatPr defaultRowHeight="12" x14ac:dyDescent="0.2"/>
  <cols>
    <col min="1" max="1" width="4.7109375" style="22" customWidth="1"/>
    <col min="2" max="2" width="19.85546875" style="22" customWidth="1"/>
    <col min="3" max="3" width="6.140625" style="22" customWidth="1"/>
    <col min="4" max="4" width="9.140625" style="22"/>
    <col min="5" max="5" width="12.28515625" style="22" customWidth="1"/>
    <col min="6" max="7" width="12.140625" style="22" customWidth="1"/>
    <col min="8" max="8" width="8.42578125" style="22" customWidth="1"/>
    <col min="9" max="9" width="10.140625" style="22" customWidth="1"/>
    <col min="10" max="10" width="9.140625" style="22"/>
    <col min="11" max="11" width="14.7109375" style="22" customWidth="1"/>
    <col min="12" max="12" width="11.140625" style="22" customWidth="1"/>
    <col min="13" max="13" width="14.5703125" style="22" customWidth="1"/>
    <col min="14" max="14" width="10.5703125" style="22" customWidth="1"/>
    <col min="15" max="16384" width="9.140625" style="22"/>
  </cols>
  <sheetData>
    <row r="1" spans="1:29" s="1" customFormat="1" ht="48" customHeight="1" x14ac:dyDescent="0.2">
      <c r="B1" s="2"/>
      <c r="C1" s="2"/>
      <c r="K1" s="3"/>
      <c r="M1" s="30" t="s">
        <v>18</v>
      </c>
      <c r="N1" s="30"/>
      <c r="O1" s="5"/>
      <c r="P1" s="5"/>
      <c r="Q1" s="5"/>
      <c r="R1" s="5"/>
      <c r="S1" s="5"/>
      <c r="T1" s="5"/>
      <c r="U1" s="5"/>
      <c r="V1" s="5"/>
      <c r="W1" s="4"/>
      <c r="X1" s="4"/>
      <c r="Y1" s="4"/>
      <c r="Z1" s="4"/>
      <c r="AA1" s="4"/>
      <c r="AB1" s="4"/>
      <c r="AC1" s="4"/>
    </row>
    <row r="2" spans="1:29" s="1" customFormat="1" ht="65.25" customHeight="1" x14ac:dyDescent="0.2">
      <c r="A2" s="32" t="s">
        <v>10</v>
      </c>
      <c r="B2" s="32"/>
      <c r="C2" s="32"/>
      <c r="D2" s="32"/>
      <c r="E2" s="32"/>
      <c r="F2" s="32"/>
      <c r="G2" s="32"/>
      <c r="H2" s="32"/>
      <c r="I2" s="32"/>
      <c r="J2" s="32"/>
      <c r="K2" s="33"/>
      <c r="M2" s="31"/>
      <c r="N2" s="31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</row>
    <row r="3" spans="1:29" s="1" customFormat="1" ht="39" customHeight="1" x14ac:dyDescent="0.2">
      <c r="A3" s="34" t="s">
        <v>0</v>
      </c>
      <c r="B3" s="35" t="s">
        <v>14</v>
      </c>
      <c r="C3" s="35" t="s">
        <v>1</v>
      </c>
      <c r="D3" s="35" t="s">
        <v>2</v>
      </c>
      <c r="E3" s="35" t="s">
        <v>3</v>
      </c>
      <c r="F3" s="35"/>
      <c r="G3" s="35"/>
      <c r="H3" s="36" t="s">
        <v>4</v>
      </c>
      <c r="I3" s="36"/>
      <c r="J3" s="36"/>
      <c r="K3" s="37" t="s">
        <v>11</v>
      </c>
      <c r="L3" s="38"/>
      <c r="M3" s="38"/>
      <c r="N3" s="6"/>
    </row>
    <row r="4" spans="1:29" s="1" customFormat="1" ht="82.5" customHeight="1" x14ac:dyDescent="0.2">
      <c r="A4" s="34"/>
      <c r="B4" s="35"/>
      <c r="C4" s="35"/>
      <c r="D4" s="35"/>
      <c r="E4" s="7" t="s">
        <v>21</v>
      </c>
      <c r="F4" s="7" t="s">
        <v>23</v>
      </c>
      <c r="G4" s="8" t="s">
        <v>22</v>
      </c>
      <c r="H4" s="7" t="s">
        <v>8</v>
      </c>
      <c r="I4" s="7" t="s">
        <v>5</v>
      </c>
      <c r="J4" s="7" t="s">
        <v>15</v>
      </c>
      <c r="K4" s="9" t="s">
        <v>16</v>
      </c>
      <c r="L4" s="10" t="s">
        <v>6</v>
      </c>
      <c r="M4" s="10" t="s">
        <v>7</v>
      </c>
      <c r="N4" s="10" t="s">
        <v>12</v>
      </c>
    </row>
    <row r="5" spans="1:29" s="11" customFormat="1" ht="18.75" customHeight="1" x14ac:dyDescent="0.2">
      <c r="A5" s="27" t="s">
        <v>24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9"/>
    </row>
    <row r="6" spans="1:29" s="11" customFormat="1" ht="40.5" customHeight="1" x14ac:dyDescent="0.25">
      <c r="A6" s="24">
        <v>1</v>
      </c>
      <c r="B6" s="26" t="s">
        <v>19</v>
      </c>
      <c r="C6" s="12" t="s">
        <v>9</v>
      </c>
      <c r="D6" s="12">
        <v>1200</v>
      </c>
      <c r="E6" s="13">
        <v>570</v>
      </c>
      <c r="F6" s="13">
        <v>580</v>
      </c>
      <c r="G6" s="13">
        <v>600</v>
      </c>
      <c r="H6" s="14">
        <f t="shared" ref="H6:H7" si="0">AVERAGE(E6:G6)</f>
        <v>583.33333333333337</v>
      </c>
      <c r="I6" s="15">
        <f t="shared" ref="I6:I7" si="1">SQRT(((SUM((POWER(E6-H6,2)),(POWER(F6-H6,2)),(POWER(G6-H6,2)))/(COLUMNS(E6:G6)-1))))</f>
        <v>15.275252316519467</v>
      </c>
      <c r="J6" s="15">
        <f t="shared" ref="J6:J7" si="2">I6/H6*100</f>
        <v>2.6186146828319083</v>
      </c>
      <c r="K6" s="16">
        <f t="shared" ref="K6:K7" si="3">((D6/3)*(SUM(E6:G6)))</f>
        <v>700000</v>
      </c>
      <c r="L6" s="17">
        <f t="shared" ref="L6:L7" si="4">K6/D6</f>
        <v>583.33333333333337</v>
      </c>
      <c r="M6" s="16">
        <f t="shared" ref="M6:M7" si="5">ROUND(L6,2)</f>
        <v>583.33000000000004</v>
      </c>
      <c r="N6" s="16">
        <f t="shared" ref="N6:N7" si="6">M6*D6</f>
        <v>699996</v>
      </c>
    </row>
    <row r="7" spans="1:29" s="11" customFormat="1" ht="40.5" customHeight="1" x14ac:dyDescent="0.25">
      <c r="A7" s="25">
        <v>2</v>
      </c>
      <c r="B7" s="26" t="s">
        <v>20</v>
      </c>
      <c r="C7" s="18" t="s">
        <v>9</v>
      </c>
      <c r="D7" s="18">
        <v>440</v>
      </c>
      <c r="E7" s="13">
        <v>575</v>
      </c>
      <c r="F7" s="13">
        <v>565</v>
      </c>
      <c r="G7" s="13">
        <v>600</v>
      </c>
      <c r="H7" s="14">
        <f t="shared" si="0"/>
        <v>580</v>
      </c>
      <c r="I7" s="15">
        <f t="shared" si="1"/>
        <v>18.027756377319946</v>
      </c>
      <c r="J7" s="15">
        <f t="shared" si="2"/>
        <v>3.1082338581586115</v>
      </c>
      <c r="K7" s="16">
        <f t="shared" si="3"/>
        <v>255199.99999999997</v>
      </c>
      <c r="L7" s="17">
        <f t="shared" si="4"/>
        <v>579.99999999999989</v>
      </c>
      <c r="M7" s="16">
        <f t="shared" si="5"/>
        <v>580</v>
      </c>
      <c r="N7" s="16">
        <f t="shared" si="6"/>
        <v>255200</v>
      </c>
    </row>
    <row r="8" spans="1:29" x14ac:dyDescent="0.2">
      <c r="A8" s="19"/>
      <c r="B8" s="20" t="s">
        <v>13</v>
      </c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21">
        <f>SUM(N6:N7)</f>
        <v>955196</v>
      </c>
    </row>
    <row r="13" spans="1:29" x14ac:dyDescent="0.2">
      <c r="K13" s="22" t="s">
        <v>17</v>
      </c>
    </row>
    <row r="17" spans="6:6" x14ac:dyDescent="0.2">
      <c r="F17" s="23"/>
    </row>
  </sheetData>
  <mergeCells count="10">
    <mergeCell ref="A5:N5"/>
    <mergeCell ref="M1:N2"/>
    <mergeCell ref="A2:K2"/>
    <mergeCell ref="A3:A4"/>
    <mergeCell ref="B3:B4"/>
    <mergeCell ref="C3:C4"/>
    <mergeCell ref="D3:D4"/>
    <mergeCell ref="E3:G3"/>
    <mergeCell ref="H3:J3"/>
    <mergeCell ref="K3:M3"/>
  </mergeCells>
  <pageMargins left="0.24" right="0.2" top="0.75" bottom="0.75" header="0.3" footer="0.3"/>
  <pageSetup paperSize="9" scale="8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3</vt:i4>
      </vt:variant>
      <vt:variant>
        <vt:lpstr>Именованные диапазоны</vt:lpstr>
      </vt:variant>
      <vt:variant>
        <vt:i4>1</vt:i4>
      </vt:variant>
    </vt:vector>
  </HeadingPairs>
  <TitlesOfParts>
    <vt:vector size="4" baseType="lpstr">
      <vt:lpstr>Лист1</vt:lpstr>
      <vt:lpstr>Лист2</vt:lpstr>
      <vt:lpstr>Лист3</vt:lpstr>
      <vt:lpstr>Лист1!Область_печати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2026-04-03T04:33:01Z</dcterms:modified>
</cp:coreProperties>
</file>